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vyaadvani/Downloads/"/>
    </mc:Choice>
  </mc:AlternateContent>
  <xr:revisionPtr revIDLastSave="0" documentId="8_{C34A21B8-831F-5E4A-B9F0-6C06EBF00452}" xr6:coauthVersionLast="47" xr6:coauthVersionMax="47" xr10:uidLastSave="{00000000-0000-0000-0000-000000000000}"/>
  <bookViews>
    <workbookView xWindow="2860" yWindow="600" windowWidth="22740" windowHeight="15000" activeTab="1" xr2:uid="{7853C119-6999-4D1B-BC65-6862FD8FB540}"/>
  </bookViews>
  <sheets>
    <sheet name="Q" sheetId="5" r:id="rId1"/>
    <sheet name="A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5" l="1"/>
  <c r="L15" i="5"/>
  <c r="L14" i="5"/>
  <c r="L13" i="5"/>
  <c r="L12" i="5"/>
  <c r="L11" i="5"/>
  <c r="L10" i="5"/>
  <c r="L8" i="5"/>
  <c r="L7" i="5"/>
  <c r="L6" i="5"/>
  <c r="L5" i="5"/>
  <c r="E35" i="6"/>
  <c r="E34" i="6"/>
  <c r="E32" i="6"/>
  <c r="E33" i="6"/>
  <c r="E30" i="6"/>
  <c r="E28" i="6"/>
  <c r="E27" i="6"/>
  <c r="E25" i="6"/>
  <c r="E24" i="6"/>
  <c r="E23" i="6"/>
  <c r="E22" i="6"/>
  <c r="B32" i="6"/>
  <c r="B33" i="6"/>
  <c r="B34" i="6"/>
  <c r="E11" i="6" s="1"/>
  <c r="B35" i="6"/>
  <c r="B37" i="6"/>
  <c r="B38" i="6"/>
  <c r="B39" i="6"/>
  <c r="B40" i="6"/>
  <c r="B42" i="6"/>
  <c r="B43" i="6"/>
  <c r="B44" i="6"/>
  <c r="B45" i="6"/>
  <c r="B47" i="6"/>
  <c r="B48" i="6"/>
  <c r="B49" i="6"/>
  <c r="B51" i="6"/>
  <c r="B52" i="6"/>
  <c r="E14" i="6" s="1"/>
  <c r="B53" i="6"/>
  <c r="B54" i="6"/>
  <c r="B31" i="6"/>
  <c r="B25" i="6"/>
  <c r="B24" i="6"/>
  <c r="B19" i="6"/>
  <c r="B20" i="6"/>
  <c r="B21" i="6"/>
  <c r="B22" i="6"/>
  <c r="B23" i="6"/>
  <c r="B18" i="6"/>
  <c r="B8" i="6"/>
  <c r="B9" i="6"/>
  <c r="B10" i="6"/>
  <c r="B11" i="6"/>
  <c r="B12" i="6"/>
  <c r="B13" i="6"/>
  <c r="B14" i="6"/>
  <c r="B15" i="6"/>
  <c r="B16" i="6"/>
  <c r="B17" i="6"/>
  <c r="B7" i="6"/>
  <c r="B6" i="6"/>
  <c r="B29" i="6"/>
  <c r="E17" i="6" l="1"/>
  <c r="E13" i="6"/>
  <c r="E6" i="6"/>
  <c r="E8" i="6" s="1"/>
  <c r="E9" i="6"/>
  <c r="E7" i="6"/>
  <c r="E10" i="6" l="1"/>
  <c r="E12" i="6" l="1"/>
  <c r="E15" i="6" s="1"/>
  <c r="E16" i="6" l="1"/>
  <c r="E18" i="6" s="1"/>
  <c r="E19" i="6" s="1"/>
</calcChain>
</file>

<file path=xl/sharedStrings.xml><?xml version="1.0" encoding="utf-8"?>
<sst xmlns="http://schemas.openxmlformats.org/spreadsheetml/2006/main" count="148" uniqueCount="112">
  <si>
    <t>Liabilities and equity total</t>
  </si>
  <si>
    <t>Shareholders Equity</t>
  </si>
  <si>
    <t>Other liabilities</t>
  </si>
  <si>
    <t>Liabilities and equity</t>
  </si>
  <si>
    <t xml:space="preserve">   Deposits</t>
  </si>
  <si>
    <t>Assets Total</t>
  </si>
  <si>
    <t>Customer loans</t>
  </si>
  <si>
    <t>Assets</t>
  </si>
  <si>
    <t>Credits</t>
  </si>
  <si>
    <t>Marketable securities</t>
  </si>
  <si>
    <t xml:space="preserve">   FinTech</t>
  </si>
  <si>
    <t xml:space="preserve">   HTM</t>
  </si>
  <si>
    <t xml:space="preserve">   Enterprise</t>
  </si>
  <si>
    <t>Overnight</t>
  </si>
  <si>
    <t xml:space="preserve">   Overnight</t>
  </si>
  <si>
    <t xml:space="preserve">   Bonds issued</t>
  </si>
  <si>
    <t>Interest income</t>
  </si>
  <si>
    <t>Trading gains</t>
  </si>
  <si>
    <t>Operating expense</t>
  </si>
  <si>
    <t>Risk cost</t>
  </si>
  <si>
    <t>Noninterest income</t>
  </si>
  <si>
    <t xml:space="preserve">   Consumer</t>
  </si>
  <si>
    <t>Equity participations</t>
  </si>
  <si>
    <t>Noncore dividend income</t>
  </si>
  <si>
    <t>FinTech dividend income</t>
  </si>
  <si>
    <t>Interest bearing liabilities</t>
  </si>
  <si>
    <t xml:space="preserve">   Syndicated loans</t>
  </si>
  <si>
    <t>Corporate income tax</t>
  </si>
  <si>
    <t>Interest income on HTM</t>
  </si>
  <si>
    <t>Taxes on gains and dividends</t>
  </si>
  <si>
    <t>1.4. Net income</t>
  </si>
  <si>
    <t>2.1. Net interest margin</t>
  </si>
  <si>
    <t>2.4. Enterprise loan yield</t>
  </si>
  <si>
    <t>Answer</t>
  </si>
  <si>
    <t>1.1. Non interest income</t>
  </si>
  <si>
    <t>1.2. Bank revenues</t>
  </si>
  <si>
    <t>1.3. Earnings before taxes</t>
  </si>
  <si>
    <t>2. Calculate and report (%)</t>
  </si>
  <si>
    <t>Balance sheet</t>
  </si>
  <si>
    <t>Income statement data points</t>
  </si>
  <si>
    <t>1. Construct your P&amp;L first. Next, calculate and report ($)</t>
  </si>
  <si>
    <t>Questions - Your cells MUST show the formulas</t>
  </si>
  <si>
    <t>2.2. Noninterest margin</t>
  </si>
  <si>
    <t>2.3. Yield on investment securities</t>
  </si>
  <si>
    <t>Interest income/loss</t>
  </si>
  <si>
    <t>Other interest income</t>
  </si>
  <si>
    <t xml:space="preserve">   Trading book</t>
  </si>
  <si>
    <t>AKDOGAN SPRING 2026 EXAM</t>
  </si>
  <si>
    <t>2.5. Yield on wholesale funding</t>
  </si>
  <si>
    <t>2.6. Return on Core Equity</t>
  </si>
  <si>
    <t>2.7. Return on Non-core Equity</t>
  </si>
  <si>
    <t>A. Overnight position</t>
  </si>
  <si>
    <t>B. Securities business</t>
  </si>
  <si>
    <t>C. Enterprise loan assets</t>
  </si>
  <si>
    <t>D. Consumer loan assets</t>
  </si>
  <si>
    <t>E. Breakdown of interest expense</t>
  </si>
  <si>
    <t>F. Equity participations</t>
  </si>
  <si>
    <t>G. Tax rates</t>
  </si>
  <si>
    <t>Other core assets</t>
  </si>
  <si>
    <t xml:space="preserve">   Gas Station Enterprise</t>
  </si>
  <si>
    <t>ANSWERS</t>
  </si>
  <si>
    <t>$M</t>
  </si>
  <si>
    <t xml:space="preserve">   Enterprise loans</t>
  </si>
  <si>
    <t xml:space="preserve">   Consumer loans</t>
  </si>
  <si>
    <t xml:space="preserve">   FinTech equity</t>
  </si>
  <si>
    <t xml:space="preserve">   Non-core equity</t>
  </si>
  <si>
    <t>Total assets</t>
  </si>
  <si>
    <t>Bonds issued</t>
  </si>
  <si>
    <t>Syndicated loans</t>
  </si>
  <si>
    <t>Deposits</t>
  </si>
  <si>
    <t>Taxes on gains/dividends</t>
  </si>
  <si>
    <t>Income statement data</t>
  </si>
  <si>
    <t>Overnight interest income/loss</t>
  </si>
  <si>
    <t>HTM interest income</t>
  </si>
  <si>
    <t>Other securities interest income</t>
  </si>
  <si>
    <t>Securities operating expense</t>
  </si>
  <si>
    <t>Enterprise loan interest income</t>
  </si>
  <si>
    <t>Enterprise noninterest income</t>
  </si>
  <si>
    <t>Enterprise operating expense</t>
  </si>
  <si>
    <t>Enterprise risk cost</t>
  </si>
  <si>
    <t>Consumer loan interest income</t>
  </si>
  <si>
    <t>Consumer noninterest income</t>
  </si>
  <si>
    <t>Consumer operating expense</t>
  </si>
  <si>
    <t>Consumer risk cost</t>
  </si>
  <si>
    <t>Bonds interest expense</t>
  </si>
  <si>
    <t>Syndicated loans interest expense</t>
  </si>
  <si>
    <t>Deposits interest expense</t>
  </si>
  <si>
    <t>Non-core dividend income</t>
  </si>
  <si>
    <t>Equity participation operating expense</t>
  </si>
  <si>
    <t>Equity participation risk cost</t>
  </si>
  <si>
    <t>Interest expense</t>
  </si>
  <si>
    <t>Net interest income</t>
  </si>
  <si>
    <t>Non-interest income</t>
  </si>
  <si>
    <t>Bank revenues</t>
  </si>
  <si>
    <t>OPEX</t>
  </si>
  <si>
    <t>Operating income</t>
  </si>
  <si>
    <t>CoR</t>
  </si>
  <si>
    <t>Non-core income</t>
  </si>
  <si>
    <t>EBT</t>
  </si>
  <si>
    <t>Net income</t>
  </si>
  <si>
    <t>Questions - Answers</t>
  </si>
  <si>
    <t xml:space="preserve">overnight </t>
  </si>
  <si>
    <t xml:space="preserve">a.overnight position </t>
  </si>
  <si>
    <t>b.securities business</t>
  </si>
  <si>
    <t>risk cost</t>
  </si>
  <si>
    <t xml:space="preserve">c.enterprise loan assets: </t>
  </si>
  <si>
    <t>d.consumer loan assets</t>
  </si>
  <si>
    <t>e.breakdown of interest expense</t>
  </si>
  <si>
    <t xml:space="preserve">f. equity participation </t>
  </si>
  <si>
    <t>Corporate tax</t>
  </si>
  <si>
    <t>Taxes on dividends</t>
  </si>
  <si>
    <t xml:space="preserve">Total tax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</si>
</sst>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%"/>
    <numFmt numFmtId="167" formatCode="#,##0.00;\(#,##0.00\);\-"/>
    <numFmt numFmtId="168" formatCode="#,##0.000_);\(#,##0.000\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EA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164" fontId="1" fillId="2" borderId="0" xfId="0" applyNumberFormat="1" applyFont="1" applyFill="1"/>
    <xf numFmtId="164" fontId="2" fillId="2" borderId="0" xfId="0" applyNumberFormat="1" applyFont="1" applyFill="1"/>
    <xf numFmtId="0" fontId="2" fillId="2" borderId="0" xfId="0" applyFont="1" applyFill="1"/>
    <xf numFmtId="0" fontId="2" fillId="2" borderId="2" xfId="0" applyFont="1" applyFill="1" applyBorder="1"/>
    <xf numFmtId="164" fontId="1" fillId="2" borderId="0" xfId="1" applyNumberFormat="1" applyFont="1" applyFill="1"/>
    <xf numFmtId="0" fontId="5" fillId="2" borderId="1" xfId="0" applyFont="1" applyFill="1" applyBorder="1"/>
    <xf numFmtId="164" fontId="3" fillId="3" borderId="4" xfId="0" applyNumberFormat="1" applyFont="1" applyFill="1" applyBorder="1"/>
    <xf numFmtId="164" fontId="1" fillId="3" borderId="4" xfId="0" applyNumberFormat="1" applyFont="1" applyFill="1" applyBorder="1"/>
    <xf numFmtId="164" fontId="0" fillId="3" borderId="4" xfId="0" applyNumberFormat="1" applyFill="1" applyBorder="1"/>
    <xf numFmtId="164" fontId="2" fillId="2" borderId="0" xfId="1" applyNumberFormat="1" applyFont="1" applyFill="1"/>
    <xf numFmtId="0" fontId="5" fillId="3" borderId="5" xfId="0" applyFont="1" applyFill="1" applyBorder="1" applyAlignment="1">
      <alignment horizontal="left"/>
    </xf>
    <xf numFmtId="0" fontId="5" fillId="2" borderId="0" xfId="0" applyFont="1" applyFill="1"/>
    <xf numFmtId="0" fontId="3" fillId="2" borderId="0" xfId="0" applyFont="1" applyFill="1" applyAlignment="1">
      <alignment horizontal="right"/>
    </xf>
    <xf numFmtId="0" fontId="6" fillId="2" borderId="0" xfId="0" applyFont="1" applyFill="1"/>
    <xf numFmtId="43" fontId="1" fillId="2" borderId="0" xfId="0" applyNumberFormat="1" applyFont="1" applyFill="1"/>
    <xf numFmtId="0" fontId="4" fillId="2" borderId="0" xfId="0" applyFont="1" applyFill="1"/>
    <xf numFmtId="165" fontId="1" fillId="2" borderId="4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/>
    <xf numFmtId="0" fontId="5" fillId="2" borderId="5" xfId="0" applyFont="1" applyFill="1" applyBorder="1"/>
    <xf numFmtId="164" fontId="0" fillId="3" borderId="3" xfId="0" applyNumberFormat="1" applyFill="1" applyBorder="1"/>
    <xf numFmtId="165" fontId="1" fillId="2" borderId="0" xfId="0" applyNumberFormat="1" applyFont="1" applyFill="1" applyAlignment="1">
      <alignment horizontal="center" vertical="center"/>
    </xf>
    <xf numFmtId="164" fontId="0" fillId="2" borderId="0" xfId="0" applyNumberFormat="1" applyFill="1"/>
    <xf numFmtId="164" fontId="3" fillId="2" borderId="0" xfId="0" applyNumberFormat="1" applyFont="1" applyFill="1"/>
    <xf numFmtId="43" fontId="0" fillId="3" borderId="4" xfId="0" applyNumberFormat="1" applyFill="1" applyBorder="1"/>
    <xf numFmtId="43" fontId="0" fillId="3" borderId="3" xfId="0" applyNumberFormat="1" applyFill="1" applyBorder="1"/>
    <xf numFmtId="0" fontId="5" fillId="2" borderId="6" xfId="0" applyFont="1" applyFill="1" applyBorder="1"/>
    <xf numFmtId="0" fontId="4" fillId="2" borderId="7" xfId="0" applyFont="1" applyFill="1" applyBorder="1"/>
    <xf numFmtId="164" fontId="0" fillId="2" borderId="8" xfId="0" applyNumberFormat="1" applyFill="1" applyBorder="1"/>
    <xf numFmtId="164" fontId="0" fillId="2" borderId="10" xfId="0" applyNumberFormat="1" applyFill="1" applyBorder="1"/>
    <xf numFmtId="0" fontId="1" fillId="2" borderId="10" xfId="0" applyFont="1" applyFill="1" applyBorder="1"/>
    <xf numFmtId="0" fontId="1" fillId="2" borderId="8" xfId="0" applyFont="1" applyFill="1" applyBorder="1"/>
    <xf numFmtId="164" fontId="1" fillId="2" borderId="7" xfId="0" applyNumberFormat="1" applyFont="1" applyFill="1" applyBorder="1"/>
    <xf numFmtId="9" fontId="1" fillId="2" borderId="11" xfId="0" applyNumberFormat="1" applyFont="1" applyFill="1" applyBorder="1"/>
    <xf numFmtId="9" fontId="1" fillId="2" borderId="9" xfId="0" applyNumberFormat="1" applyFont="1" applyFill="1" applyBorder="1"/>
    <xf numFmtId="0" fontId="5" fillId="4" borderId="6" xfId="0" applyFont="1" applyFill="1" applyBorder="1"/>
    <xf numFmtId="164" fontId="0" fillId="4" borderId="10" xfId="0" applyNumberFormat="1" applyFill="1" applyBorder="1"/>
    <xf numFmtId="164" fontId="0" fillId="4" borderId="8" xfId="0" applyNumberFormat="1" applyFill="1" applyBorder="1"/>
    <xf numFmtId="43" fontId="0" fillId="4" borderId="9" xfId="0" applyNumberFormat="1" applyFill="1" applyBorder="1"/>
    <xf numFmtId="164" fontId="1" fillId="2" borderId="1" xfId="1" applyNumberFormat="1" applyFont="1" applyFill="1" applyBorder="1"/>
    <xf numFmtId="164" fontId="2" fillId="2" borderId="2" xfId="1" applyNumberFormat="1" applyFont="1" applyFill="1" applyBorder="1"/>
    <xf numFmtId="164" fontId="4" fillId="2" borderId="1" xfId="0" applyNumberFormat="1" applyFont="1" applyFill="1" applyBorder="1"/>
    <xf numFmtId="164" fontId="0" fillId="4" borderId="11" xfId="0" applyNumberFormat="1" applyFill="1" applyBorder="1"/>
    <xf numFmtId="164" fontId="0" fillId="4" borderId="9" xfId="0" applyNumberFormat="1" applyFill="1" applyBorder="1"/>
    <xf numFmtId="164" fontId="4" fillId="2" borderId="7" xfId="0" applyNumberFormat="1" applyFont="1" applyFill="1" applyBorder="1"/>
    <xf numFmtId="164" fontId="0" fillId="2" borderId="11" xfId="0" applyNumberFormat="1" applyFill="1" applyBorder="1"/>
    <xf numFmtId="164" fontId="0" fillId="2" borderId="9" xfId="0" applyNumberFormat="1" applyFill="1" applyBorder="1"/>
    <xf numFmtId="164" fontId="4" fillId="4" borderId="7" xfId="0" applyNumberFormat="1" applyFont="1" applyFill="1" applyBorder="1"/>
    <xf numFmtId="164" fontId="1" fillId="2" borderId="11" xfId="0" applyNumberFormat="1" applyFont="1" applyFill="1" applyBorder="1"/>
    <xf numFmtId="164" fontId="1" fillId="2" borderId="9" xfId="0" applyNumberFormat="1" applyFont="1" applyFill="1" applyBorder="1"/>
    <xf numFmtId="0" fontId="5" fillId="3" borderId="5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9" fillId="0" borderId="0" xfId="0" applyFont="1"/>
    <xf numFmtId="167" fontId="0" fillId="0" borderId="0" xfId="0" applyNumberFormat="1"/>
    <xf numFmtId="0" fontId="8" fillId="0" borderId="0" xfId="0" applyFont="1" applyAlignment="1">
      <alignment horizontal="left"/>
    </xf>
    <xf numFmtId="0" fontId="2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5" borderId="0" xfId="0" applyFont="1" applyFill="1" applyAlignment="1">
      <alignment horizontal="right"/>
    </xf>
    <xf numFmtId="4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39" fontId="0" fillId="0" borderId="0" xfId="0" applyNumberFormat="1"/>
    <xf numFmtId="168" fontId="0" fillId="0" borderId="0" xfId="0" applyNumberFormat="1"/>
    <xf numFmtId="168" fontId="2" fillId="0" borderId="0" xfId="0" applyNumberFormat="1" applyFont="1"/>
    <xf numFmtId="39" fontId="2" fillId="0" borderId="0" xfId="0" applyNumberFormat="1" applyFont="1"/>
    <xf numFmtId="39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04762" cy="409524"/>
    <xdr:pic>
      <xdr:nvPicPr>
        <xdr:cNvPr id="3" name="Picture 2">
          <a:extLst>
            <a:ext uri="{FF2B5EF4-FFF2-40B4-BE49-F238E27FC236}">
              <a16:creationId xmlns:a16="http://schemas.microsoft.com/office/drawing/2014/main" id="{EE19EC57-60D1-479C-8689-4412F4E9C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04762" cy="4095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733A383-C6EE-BD4F-A462-7477568741AB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E2D4E21-D231-3F47-A4F1-86D6E7EC33D8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8C047-9DF1-421A-8F59-4F880C147E39}">
  <sheetPr>
    <tabColor rgb="FFFF0000"/>
    <pageSetUpPr fitToPage="1"/>
  </sheetPr>
  <dimension ref="D1:N32"/>
  <sheetViews>
    <sheetView zoomScale="75" zoomScaleNormal="100" workbookViewId="0">
      <selection activeCell="K32" sqref="K32"/>
    </sheetView>
  </sheetViews>
  <sheetFormatPr baseColWidth="10" defaultColWidth="9.1640625" defaultRowHeight="15" x14ac:dyDescent="0.2"/>
  <cols>
    <col min="1" max="2" width="9.1640625" style="1"/>
    <col min="3" max="3" width="5" style="1" customWidth="1"/>
    <col min="4" max="4" width="24.33203125" style="1" customWidth="1"/>
    <col min="5" max="5" width="13.33203125" style="1" customWidth="1"/>
    <col min="6" max="6" width="2.33203125" style="1" customWidth="1"/>
    <col min="7" max="7" width="26.83203125" style="1" customWidth="1"/>
    <col min="8" max="8" width="11.83203125" style="1" customWidth="1"/>
    <col min="9" max="9" width="2" style="1" customWidth="1"/>
    <col min="10" max="10" width="6" style="1" customWidth="1"/>
    <col min="11" max="11" width="40.33203125" style="1" customWidth="1"/>
    <col min="12" max="12" width="10.1640625" style="1" bestFit="1" customWidth="1"/>
    <col min="13" max="13" width="26.33203125" style="1" customWidth="1"/>
    <col min="14" max="14" width="9.5" style="1" bestFit="1" customWidth="1"/>
    <col min="15" max="16384" width="9.1640625" style="1"/>
  </cols>
  <sheetData>
    <row r="1" spans="4:14" ht="21" x14ac:dyDescent="0.25">
      <c r="D1" s="16" t="s">
        <v>47</v>
      </c>
      <c r="L1" s="15"/>
      <c r="M1" s="15"/>
      <c r="N1" s="15"/>
    </row>
    <row r="2" spans="4:14" ht="16" x14ac:dyDescent="0.2">
      <c r="D2" s="54" t="s">
        <v>38</v>
      </c>
      <c r="E2" s="55"/>
      <c r="G2" s="54" t="s">
        <v>39</v>
      </c>
      <c r="H2" s="55"/>
      <c r="L2" s="3"/>
    </row>
    <row r="3" spans="4:14" x14ac:dyDescent="0.2">
      <c r="D3" s="8" t="s">
        <v>7</v>
      </c>
      <c r="E3" s="8"/>
      <c r="F3" s="14"/>
      <c r="G3" s="29" t="s">
        <v>51</v>
      </c>
      <c r="H3" s="30"/>
      <c r="I3" s="18"/>
      <c r="J3" s="22" t="s">
        <v>8</v>
      </c>
      <c r="K3" s="13" t="s">
        <v>41</v>
      </c>
      <c r="L3" s="53" t="s">
        <v>33</v>
      </c>
    </row>
    <row r="4" spans="4:14" x14ac:dyDescent="0.2">
      <c r="D4" s="5" t="s">
        <v>13</v>
      </c>
      <c r="E4" s="12">
        <v>17500</v>
      </c>
      <c r="F4" s="7"/>
      <c r="G4" s="31" t="s">
        <v>44</v>
      </c>
      <c r="H4" s="49">
        <v>0</v>
      </c>
      <c r="I4" s="4"/>
      <c r="J4" s="19"/>
      <c r="K4" s="9" t="s">
        <v>40</v>
      </c>
      <c r="L4" s="9"/>
    </row>
    <row r="5" spans="4:14" x14ac:dyDescent="0.2">
      <c r="D5" s="5" t="s">
        <v>9</v>
      </c>
      <c r="E5" s="12">
        <v>340245</v>
      </c>
      <c r="F5" s="7"/>
      <c r="G5" s="38" t="s">
        <v>52</v>
      </c>
      <c r="H5" s="50"/>
      <c r="I5" s="3"/>
      <c r="J5" s="19">
        <v>9</v>
      </c>
      <c r="K5" s="10" t="s">
        <v>34</v>
      </c>
      <c r="L5" s="27">
        <f>A!E22</f>
        <v>28569.95</v>
      </c>
    </row>
    <row r="6" spans="4:14" x14ac:dyDescent="0.2">
      <c r="D6" s="1" t="s">
        <v>11</v>
      </c>
      <c r="E6" s="7">
        <v>252679</v>
      </c>
      <c r="F6" s="7"/>
      <c r="G6" s="39" t="s">
        <v>28</v>
      </c>
      <c r="H6" s="45">
        <v>7580.37</v>
      </c>
      <c r="I6" s="3"/>
      <c r="J6" s="19">
        <v>9</v>
      </c>
      <c r="K6" s="10" t="s">
        <v>35</v>
      </c>
      <c r="L6" s="27">
        <f>A!E23</f>
        <v>81088.540000000008</v>
      </c>
    </row>
    <row r="7" spans="4:14" x14ac:dyDescent="0.2">
      <c r="D7" s="1" t="s">
        <v>46</v>
      </c>
      <c r="E7" s="7">
        <v>87566</v>
      </c>
      <c r="F7" s="7"/>
      <c r="G7" s="39" t="s">
        <v>45</v>
      </c>
      <c r="H7" s="45">
        <v>1751.32</v>
      </c>
      <c r="I7" s="4"/>
      <c r="J7" s="19">
        <v>9</v>
      </c>
      <c r="K7" s="11" t="s">
        <v>36</v>
      </c>
      <c r="L7" s="27">
        <f>A!E24</f>
        <v>56532.630000000005</v>
      </c>
    </row>
    <row r="8" spans="4:14" x14ac:dyDescent="0.2">
      <c r="D8" s="5" t="s">
        <v>6</v>
      </c>
      <c r="E8" s="12">
        <v>897370</v>
      </c>
      <c r="F8" s="7"/>
      <c r="G8" s="39" t="s">
        <v>17</v>
      </c>
      <c r="H8" s="45">
        <v>0</v>
      </c>
      <c r="I8" s="3"/>
      <c r="J8" s="20">
        <v>9</v>
      </c>
      <c r="K8" s="23" t="s">
        <v>30</v>
      </c>
      <c r="L8" s="28">
        <f>A!E25</f>
        <v>45251.104000000007</v>
      </c>
    </row>
    <row r="9" spans="4:14" x14ac:dyDescent="0.2">
      <c r="D9" s="1" t="s">
        <v>12</v>
      </c>
      <c r="E9" s="7">
        <v>567600</v>
      </c>
      <c r="F9" s="7"/>
      <c r="G9" s="39" t="s">
        <v>18</v>
      </c>
      <c r="H9" s="45">
        <v>-340.245</v>
      </c>
      <c r="I9" s="3"/>
      <c r="J9" s="19"/>
      <c r="K9" s="9" t="s">
        <v>37</v>
      </c>
      <c r="L9" s="27"/>
    </row>
    <row r="10" spans="4:14" x14ac:dyDescent="0.2">
      <c r="D10" s="1" t="s">
        <v>21</v>
      </c>
      <c r="E10" s="7">
        <v>329770</v>
      </c>
      <c r="F10" s="7"/>
      <c r="G10" s="40" t="s">
        <v>19</v>
      </c>
      <c r="H10" s="46">
        <v>0</v>
      </c>
      <c r="I10" s="3"/>
      <c r="J10" s="19">
        <v>8</v>
      </c>
      <c r="K10" s="11" t="s">
        <v>31</v>
      </c>
      <c r="L10" s="27">
        <f>A!E27</f>
        <v>3.8004761577399155</v>
      </c>
    </row>
    <row r="11" spans="4:14" x14ac:dyDescent="0.2">
      <c r="D11" s="5" t="s">
        <v>22</v>
      </c>
      <c r="E11" s="12">
        <v>47880</v>
      </c>
      <c r="F11" s="12"/>
      <c r="G11" s="29" t="s">
        <v>53</v>
      </c>
      <c r="H11" s="47"/>
      <c r="I11" s="3"/>
      <c r="J11" s="19">
        <v>8</v>
      </c>
      <c r="K11" s="11" t="s">
        <v>42</v>
      </c>
      <c r="L11" s="27">
        <f>A!E28</f>
        <v>2.0674472373081891</v>
      </c>
    </row>
    <row r="12" spans="4:14" x14ac:dyDescent="0.2">
      <c r="D12" s="1" t="s">
        <v>10</v>
      </c>
      <c r="E12" s="7">
        <v>34980</v>
      </c>
      <c r="G12" s="32" t="s">
        <v>16</v>
      </c>
      <c r="H12" s="48">
        <v>28380</v>
      </c>
      <c r="I12" s="4"/>
      <c r="J12" s="19">
        <v>8</v>
      </c>
      <c r="K12" s="11" t="s">
        <v>43</v>
      </c>
      <c r="L12" s="27">
        <f>A!E30</f>
        <v>2.7426383929227471</v>
      </c>
    </row>
    <row r="13" spans="4:14" x14ac:dyDescent="0.2">
      <c r="D13" s="1" t="s">
        <v>59</v>
      </c>
      <c r="E13" s="7">
        <v>12900</v>
      </c>
      <c r="G13" s="32" t="s">
        <v>20</v>
      </c>
      <c r="H13" s="48">
        <v>17028</v>
      </c>
      <c r="I13" s="3"/>
      <c r="J13" s="19">
        <v>8</v>
      </c>
      <c r="K13" s="11" t="s">
        <v>32</v>
      </c>
      <c r="L13" s="27">
        <f>A!E32</f>
        <v>5</v>
      </c>
    </row>
    <row r="14" spans="4:14" x14ac:dyDescent="0.2">
      <c r="D14" s="2" t="s">
        <v>58</v>
      </c>
      <c r="E14" s="42">
        <v>78900</v>
      </c>
      <c r="G14" s="32" t="s">
        <v>18</v>
      </c>
      <c r="H14" s="48">
        <v>-11352</v>
      </c>
      <c r="I14" s="3"/>
      <c r="J14" s="19">
        <v>8</v>
      </c>
      <c r="K14" s="11" t="s">
        <v>48</v>
      </c>
      <c r="L14" s="27">
        <f>A!E33</f>
        <v>1.6263887029062625</v>
      </c>
    </row>
    <row r="15" spans="4:14" x14ac:dyDescent="0.2">
      <c r="D15" s="6" t="s">
        <v>5</v>
      </c>
      <c r="E15" s="43">
        <v>1381895</v>
      </c>
      <c r="G15" s="31" t="s">
        <v>19</v>
      </c>
      <c r="H15" s="49">
        <v>-1986.6000000000001</v>
      </c>
      <c r="I15" s="4"/>
      <c r="J15" s="19">
        <v>12</v>
      </c>
      <c r="K15" s="11" t="s">
        <v>49</v>
      </c>
      <c r="L15" s="27">
        <f>A!E34</f>
        <v>36.327326066696386</v>
      </c>
    </row>
    <row r="16" spans="4:14" x14ac:dyDescent="0.2">
      <c r="D16" s="8" t="s">
        <v>3</v>
      </c>
      <c r="E16" s="44"/>
      <c r="G16" s="38" t="s">
        <v>54</v>
      </c>
      <c r="H16" s="50"/>
      <c r="I16" s="3"/>
      <c r="J16" s="20">
        <v>12</v>
      </c>
      <c r="K16" s="21" t="s">
        <v>50</v>
      </c>
      <c r="L16" s="28">
        <f>A!E35</f>
        <v>3.2945736434108532</v>
      </c>
    </row>
    <row r="17" spans="4:13" x14ac:dyDescent="0.2">
      <c r="D17" s="5" t="s">
        <v>25</v>
      </c>
      <c r="E17" s="3"/>
      <c r="G17" s="39" t="s">
        <v>16</v>
      </c>
      <c r="H17" s="45">
        <v>23083.9</v>
      </c>
      <c r="I17" s="3"/>
      <c r="J17" s="3"/>
      <c r="K17" s="3"/>
      <c r="L17" s="3"/>
      <c r="M17" s="3"/>
    </row>
    <row r="18" spans="4:13" x14ac:dyDescent="0.2">
      <c r="D18" s="1" t="s">
        <v>14</v>
      </c>
      <c r="E18" s="7">
        <v>17500</v>
      </c>
      <c r="G18" s="39" t="s">
        <v>20</v>
      </c>
      <c r="H18" s="45">
        <v>11541.95</v>
      </c>
      <c r="I18" s="3"/>
      <c r="J18" s="24"/>
      <c r="K18" s="3"/>
    </row>
    <row r="19" spans="4:13" x14ac:dyDescent="0.2">
      <c r="D19" s="1" t="s">
        <v>15</v>
      </c>
      <c r="E19" s="7">
        <v>97890</v>
      </c>
      <c r="G19" s="39" t="s">
        <v>18</v>
      </c>
      <c r="H19" s="45">
        <v>-9893.1</v>
      </c>
      <c r="I19" s="3"/>
      <c r="J19" s="24"/>
      <c r="K19" s="25"/>
    </row>
    <row r="20" spans="4:13" x14ac:dyDescent="0.2">
      <c r="D20" s="1" t="s">
        <v>26</v>
      </c>
      <c r="E20" s="7">
        <v>327777</v>
      </c>
      <c r="G20" s="40" t="s">
        <v>19</v>
      </c>
      <c r="H20" s="46">
        <v>-1483.9649999999999</v>
      </c>
      <c r="I20" s="3"/>
      <c r="J20" s="24"/>
      <c r="K20" s="3"/>
    </row>
    <row r="21" spans="4:13" x14ac:dyDescent="0.2">
      <c r="D21" s="1" t="s">
        <v>4</v>
      </c>
      <c r="E21" s="7">
        <v>749234</v>
      </c>
      <c r="G21" s="29" t="s">
        <v>55</v>
      </c>
      <c r="H21" s="47"/>
      <c r="I21" s="4"/>
      <c r="J21" s="24"/>
      <c r="K21" s="26"/>
    </row>
    <row r="22" spans="4:13" x14ac:dyDescent="0.2">
      <c r="D22" s="5" t="s">
        <v>2</v>
      </c>
      <c r="E22" s="12">
        <v>53199</v>
      </c>
      <c r="G22" s="33" t="s">
        <v>15</v>
      </c>
      <c r="H22" s="51">
        <v>-1231</v>
      </c>
      <c r="I22" s="3"/>
      <c r="J22" s="24"/>
      <c r="K22" s="17"/>
    </row>
    <row r="23" spans="4:13" x14ac:dyDescent="0.2">
      <c r="D23" s="5" t="s">
        <v>1</v>
      </c>
      <c r="E23" s="12">
        <v>136295</v>
      </c>
      <c r="G23" s="33" t="s">
        <v>26</v>
      </c>
      <c r="H23" s="51">
        <v>-5692</v>
      </c>
      <c r="I23" s="3"/>
      <c r="J23" s="24"/>
      <c r="K23" s="17"/>
    </row>
    <row r="24" spans="4:13" x14ac:dyDescent="0.2">
      <c r="D24" s="6" t="s">
        <v>0</v>
      </c>
      <c r="E24" s="43">
        <v>1381895</v>
      </c>
      <c r="G24" s="34" t="s">
        <v>4</v>
      </c>
      <c r="H24" s="52">
        <v>-1354</v>
      </c>
      <c r="I24" s="3"/>
      <c r="J24" s="24"/>
      <c r="K24" s="17"/>
    </row>
    <row r="25" spans="4:13" x14ac:dyDescent="0.2">
      <c r="G25" s="38" t="s">
        <v>56</v>
      </c>
      <c r="H25" s="50"/>
      <c r="I25" s="3"/>
      <c r="J25" s="24"/>
      <c r="K25" s="26"/>
    </row>
    <row r="26" spans="4:13" x14ac:dyDescent="0.2">
      <c r="G26" s="39" t="s">
        <v>24</v>
      </c>
      <c r="H26" s="45">
        <v>0</v>
      </c>
      <c r="I26" s="4"/>
    </row>
    <row r="27" spans="4:13" x14ac:dyDescent="0.2">
      <c r="G27" s="39" t="s">
        <v>23</v>
      </c>
      <c r="H27" s="45">
        <v>500</v>
      </c>
      <c r="I27" s="3"/>
    </row>
    <row r="28" spans="4:13" x14ac:dyDescent="0.2">
      <c r="G28" s="39" t="s">
        <v>18</v>
      </c>
      <c r="H28" s="45">
        <v>0</v>
      </c>
      <c r="I28" s="3"/>
    </row>
    <row r="29" spans="4:13" x14ac:dyDescent="0.2">
      <c r="G29" s="40" t="s">
        <v>19</v>
      </c>
      <c r="H29" s="41">
        <v>0</v>
      </c>
      <c r="I29" s="3"/>
    </row>
    <row r="30" spans="4:13" x14ac:dyDescent="0.2">
      <c r="G30" s="29" t="s">
        <v>57</v>
      </c>
      <c r="H30" s="35"/>
      <c r="I30" s="3"/>
    </row>
    <row r="31" spans="4:13" x14ac:dyDescent="0.2">
      <c r="G31" s="33" t="s">
        <v>27</v>
      </c>
      <c r="H31" s="36">
        <v>0.2</v>
      </c>
    </row>
    <row r="32" spans="4:13" x14ac:dyDescent="0.2">
      <c r="G32" s="34" t="s">
        <v>29</v>
      </c>
      <c r="H32" s="37">
        <v>0.15</v>
      </c>
    </row>
  </sheetData>
  <mergeCells count="2">
    <mergeCell ref="D2:E2"/>
    <mergeCell ref="G2:H2"/>
  </mergeCells>
  <pageMargins left="0.7" right="0.7" top="0.75" bottom="0.75" header="0.3" footer="0.3"/>
  <pageSetup scale="7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2C28-4857-9E48-9533-2F8BAF0A190B}">
  <dimension ref="A2:F54"/>
  <sheetViews>
    <sheetView tabSelected="1" zoomScale="150" workbookViewId="0">
      <selection activeCell="E42" sqref="E42"/>
    </sheetView>
  </sheetViews>
  <sheetFormatPr baseColWidth="10" defaultRowHeight="15" x14ac:dyDescent="0.2"/>
  <cols>
    <col min="1" max="1" width="30.83203125" style="62" bestFit="1" customWidth="1"/>
    <col min="2" max="2" width="15" style="64" bestFit="1" customWidth="1"/>
    <col min="3" max="3" width="9.1640625" bestFit="1" customWidth="1"/>
    <col min="4" max="4" width="27.33203125" style="62" bestFit="1" customWidth="1"/>
    <col min="5" max="5" width="12.33203125" style="64" bestFit="1" customWidth="1"/>
    <col min="6" max="6" width="11.1640625" bestFit="1" customWidth="1"/>
    <col min="7" max="7" width="12.1640625" customWidth="1"/>
  </cols>
  <sheetData>
    <row r="2" spans="1:5" ht="19" x14ac:dyDescent="0.25">
      <c r="A2" s="60" t="s">
        <v>60</v>
      </c>
    </row>
    <row r="5" spans="1:5" x14ac:dyDescent="0.2">
      <c r="A5" s="61" t="s">
        <v>61</v>
      </c>
      <c r="B5" s="65">
        <v>2026</v>
      </c>
      <c r="D5" s="61" t="s">
        <v>61</v>
      </c>
      <c r="E5" s="65">
        <v>2026</v>
      </c>
    </row>
    <row r="6" spans="1:5" x14ac:dyDescent="0.2">
      <c r="A6" s="62" t="s">
        <v>13</v>
      </c>
      <c r="B6" s="66">
        <f>Q!E4</f>
        <v>17500</v>
      </c>
      <c r="D6" s="62" t="s">
        <v>16</v>
      </c>
      <c r="E6" s="70">
        <f>SUM(B29+B31+B32+B37+B42)</f>
        <v>60795.590000000004</v>
      </c>
    </row>
    <row r="7" spans="1:5" x14ac:dyDescent="0.2">
      <c r="A7" s="62" t="s">
        <v>9</v>
      </c>
      <c r="B7" s="66">
        <f>Q!E5</f>
        <v>340245</v>
      </c>
      <c r="D7" s="62" t="s">
        <v>90</v>
      </c>
      <c r="E7" s="59">
        <f>SUM(B47:B49)</f>
        <v>-8277</v>
      </c>
    </row>
    <row r="8" spans="1:5" x14ac:dyDescent="0.2">
      <c r="A8" s="62" t="s">
        <v>11</v>
      </c>
      <c r="B8" s="66">
        <f>Q!E6</f>
        <v>252679</v>
      </c>
      <c r="D8" s="63" t="s">
        <v>91</v>
      </c>
      <c r="E8" s="73">
        <f>E6+E7</f>
        <v>52518.590000000004</v>
      </c>
    </row>
    <row r="9" spans="1:5" x14ac:dyDescent="0.2">
      <c r="A9" s="62" t="s">
        <v>46</v>
      </c>
      <c r="B9" s="66">
        <f>Q!E7</f>
        <v>87566</v>
      </c>
      <c r="D9" s="62" t="s">
        <v>92</v>
      </c>
      <c r="E9" s="70">
        <f>SUM(B33+B38+B43+B51)</f>
        <v>28569.95</v>
      </c>
    </row>
    <row r="10" spans="1:5" x14ac:dyDescent="0.2">
      <c r="A10" s="62" t="s">
        <v>6</v>
      </c>
      <c r="B10" s="66">
        <f>Q!E8</f>
        <v>897370</v>
      </c>
      <c r="D10" s="63" t="s">
        <v>93</v>
      </c>
      <c r="E10" s="73">
        <f>E8+E9</f>
        <v>81088.540000000008</v>
      </c>
    </row>
    <row r="11" spans="1:5" x14ac:dyDescent="0.2">
      <c r="A11" s="62" t="s">
        <v>62</v>
      </c>
      <c r="B11" s="66">
        <f>Q!E9</f>
        <v>567600</v>
      </c>
      <c r="D11" s="62" t="s">
        <v>94</v>
      </c>
      <c r="E11" s="71">
        <f>SUM(B34+B39+B44+B53)</f>
        <v>-21585.345000000001</v>
      </c>
    </row>
    <row r="12" spans="1:5" x14ac:dyDescent="0.2">
      <c r="A12" s="62" t="s">
        <v>63</v>
      </c>
      <c r="B12" s="66">
        <f>Q!E10</f>
        <v>329770</v>
      </c>
      <c r="D12" s="63" t="s">
        <v>95</v>
      </c>
      <c r="E12" s="72">
        <f>E10+E11</f>
        <v>59503.195000000007</v>
      </c>
    </row>
    <row r="13" spans="1:5" x14ac:dyDescent="0.2">
      <c r="A13" s="62" t="s">
        <v>22</v>
      </c>
      <c r="B13" s="66">
        <f>Q!E11</f>
        <v>47880</v>
      </c>
      <c r="D13" s="62" t="s">
        <v>96</v>
      </c>
      <c r="E13" s="71">
        <f>SUM(B35+B40+B45+B54)</f>
        <v>-3470.5650000000001</v>
      </c>
    </row>
    <row r="14" spans="1:5" x14ac:dyDescent="0.2">
      <c r="A14" s="62" t="s">
        <v>64</v>
      </c>
      <c r="B14" s="66">
        <f>Q!E12</f>
        <v>34980</v>
      </c>
      <c r="D14" s="62" t="s">
        <v>97</v>
      </c>
      <c r="E14" s="59">
        <f>B52</f>
        <v>500</v>
      </c>
    </row>
    <row r="15" spans="1:5" x14ac:dyDescent="0.2">
      <c r="A15" s="62" t="s">
        <v>65</v>
      </c>
      <c r="B15" s="66">
        <f>Q!E13</f>
        <v>12900</v>
      </c>
      <c r="D15" s="63" t="s">
        <v>98</v>
      </c>
      <c r="E15" s="72">
        <f>SUM(E12+E13+E14)</f>
        <v>56532.630000000005</v>
      </c>
    </row>
    <row r="16" spans="1:5" x14ac:dyDescent="0.2">
      <c r="A16" s="62" t="s">
        <v>58</v>
      </c>
      <c r="B16" s="66">
        <f>Q!E14</f>
        <v>78900</v>
      </c>
      <c r="D16" s="62" t="s">
        <v>109</v>
      </c>
      <c r="E16">
        <f>-(E15-E14)*B24</f>
        <v>-11206.526000000002</v>
      </c>
    </row>
    <row r="17" spans="1:6" x14ac:dyDescent="0.2">
      <c r="A17" s="63" t="s">
        <v>66</v>
      </c>
      <c r="B17" s="66">
        <f>Q!E15</f>
        <v>1381895</v>
      </c>
      <c r="D17" s="62" t="s">
        <v>110</v>
      </c>
      <c r="E17">
        <f>-E14*B25</f>
        <v>-75</v>
      </c>
    </row>
    <row r="18" spans="1:6" x14ac:dyDescent="0.2">
      <c r="A18" s="62" t="s">
        <v>101</v>
      </c>
      <c r="B18" s="66">
        <f>Q!E18</f>
        <v>17500</v>
      </c>
      <c r="D18" s="63" t="s">
        <v>111</v>
      </c>
      <c r="E18" s="56">
        <f>E16+E17</f>
        <v>-11281.526000000002</v>
      </c>
    </row>
    <row r="19" spans="1:6" x14ac:dyDescent="0.2">
      <c r="A19" s="62" t="s">
        <v>67</v>
      </c>
      <c r="B19" s="66">
        <f>Q!E19</f>
        <v>97890</v>
      </c>
      <c r="D19" s="63" t="s">
        <v>99</v>
      </c>
      <c r="E19" s="72">
        <f>E15+E18</f>
        <v>45251.104000000007</v>
      </c>
    </row>
    <row r="20" spans="1:6" x14ac:dyDescent="0.2">
      <c r="A20" s="62" t="s">
        <v>68</v>
      </c>
      <c r="B20" s="66">
        <f>Q!E20</f>
        <v>327777</v>
      </c>
    </row>
    <row r="21" spans="1:6" x14ac:dyDescent="0.2">
      <c r="A21" s="62" t="s">
        <v>69</v>
      </c>
      <c r="B21" s="66">
        <f>Q!E21</f>
        <v>749234</v>
      </c>
      <c r="D21" s="61" t="s">
        <v>100</v>
      </c>
      <c r="E21" s="65">
        <v>2026</v>
      </c>
    </row>
    <row r="22" spans="1:6" x14ac:dyDescent="0.2">
      <c r="A22" s="62" t="s">
        <v>2</v>
      </c>
      <c r="B22" s="66">
        <f>Q!E22</f>
        <v>53199</v>
      </c>
      <c r="D22" s="62" t="s">
        <v>34</v>
      </c>
      <c r="E22" s="74">
        <f>E9</f>
        <v>28569.95</v>
      </c>
      <c r="F22" s="68"/>
    </row>
    <row r="23" spans="1:6" x14ac:dyDescent="0.2">
      <c r="A23" s="63" t="s">
        <v>1</v>
      </c>
      <c r="B23" s="66">
        <f>Q!E23</f>
        <v>136295</v>
      </c>
      <c r="D23" s="62" t="s">
        <v>35</v>
      </c>
      <c r="E23" s="74">
        <f>E10</f>
        <v>81088.540000000008</v>
      </c>
      <c r="F23" s="68"/>
    </row>
    <row r="24" spans="1:6" x14ac:dyDescent="0.2">
      <c r="A24" s="62" t="s">
        <v>27</v>
      </c>
      <c r="B24" s="67">
        <f>Q!H31</f>
        <v>0.2</v>
      </c>
      <c r="D24" s="62" t="s">
        <v>36</v>
      </c>
      <c r="E24" s="75">
        <f>E15</f>
        <v>56532.630000000005</v>
      </c>
      <c r="F24" s="68"/>
    </row>
    <row r="25" spans="1:6" x14ac:dyDescent="0.2">
      <c r="A25" s="62" t="s">
        <v>70</v>
      </c>
      <c r="B25" s="67">
        <f>Q!H32</f>
        <v>0.15</v>
      </c>
      <c r="D25" s="62" t="s">
        <v>30</v>
      </c>
      <c r="E25" s="75">
        <f>E19</f>
        <v>45251.104000000007</v>
      </c>
      <c r="F25" s="68"/>
    </row>
    <row r="26" spans="1:6" x14ac:dyDescent="0.2">
      <c r="F26" s="64"/>
    </row>
    <row r="27" spans="1:6" x14ac:dyDescent="0.2">
      <c r="A27" s="61" t="s">
        <v>71</v>
      </c>
      <c r="B27" s="65">
        <v>2026</v>
      </c>
      <c r="D27" s="76" t="s">
        <v>31</v>
      </c>
      <c r="E27" s="69">
        <f>E8/B17*100</f>
        <v>3.8004761577399155</v>
      </c>
      <c r="F27" s="69"/>
    </row>
    <row r="28" spans="1:6" x14ac:dyDescent="0.2">
      <c r="A28" s="61" t="s">
        <v>102</v>
      </c>
      <c r="B28" s="65"/>
      <c r="D28" s="76" t="s">
        <v>42</v>
      </c>
      <c r="E28" s="69">
        <f>E9/B17*100</f>
        <v>2.0674472373081891</v>
      </c>
      <c r="F28" s="69"/>
    </row>
    <row r="29" spans="1:6" x14ac:dyDescent="0.2">
      <c r="A29" s="62" t="s">
        <v>72</v>
      </c>
      <c r="B29" s="68">
        <f>Q!H4</f>
        <v>0</v>
      </c>
      <c r="F29" s="69"/>
    </row>
    <row r="30" spans="1:6" x14ac:dyDescent="0.2">
      <c r="A30" s="63" t="s">
        <v>103</v>
      </c>
      <c r="B30" s="68"/>
      <c r="D30" s="62" t="s">
        <v>43</v>
      </c>
      <c r="E30" s="69">
        <f>SUM(B31:B32)/B7*100</f>
        <v>2.7426383929227471</v>
      </c>
      <c r="F30" s="69"/>
    </row>
    <row r="31" spans="1:6" x14ac:dyDescent="0.2">
      <c r="A31" s="62" t="s">
        <v>73</v>
      </c>
      <c r="B31" s="68">
        <f>Q!H6</f>
        <v>7580.37</v>
      </c>
      <c r="F31" s="69"/>
    </row>
    <row r="32" spans="1:6" x14ac:dyDescent="0.2">
      <c r="A32" s="62" t="s">
        <v>74</v>
      </c>
      <c r="B32" s="68">
        <f>Q!H7</f>
        <v>1751.32</v>
      </c>
      <c r="D32" s="62" t="s">
        <v>32</v>
      </c>
      <c r="E32" s="69">
        <f>B37/B11*100</f>
        <v>5</v>
      </c>
      <c r="F32" s="69"/>
    </row>
    <row r="33" spans="1:6" x14ac:dyDescent="0.2">
      <c r="A33" s="62" t="s">
        <v>17</v>
      </c>
      <c r="B33" s="68">
        <f>Q!H8</f>
        <v>0</v>
      </c>
      <c r="D33" s="62" t="s">
        <v>48</v>
      </c>
      <c r="E33" s="69">
        <f>-SUM(B47:B48)/(B19+B20)*100</f>
        <v>1.6263887029062625</v>
      </c>
      <c r="F33" s="69"/>
    </row>
    <row r="34" spans="1:6" x14ac:dyDescent="0.2">
      <c r="A34" s="62" t="s">
        <v>75</v>
      </c>
      <c r="B34" s="68">
        <f>Q!H9</f>
        <v>-340.245</v>
      </c>
      <c r="D34" s="62" t="s">
        <v>49</v>
      </c>
      <c r="E34" s="69">
        <f>(E15-E14+E16)/(B23-B15)*100</f>
        <v>36.327326066696386</v>
      </c>
      <c r="F34" s="69"/>
    </row>
    <row r="35" spans="1:6" x14ac:dyDescent="0.2">
      <c r="A35" s="62" t="s">
        <v>104</v>
      </c>
      <c r="B35" s="68">
        <f>Q!H10</f>
        <v>0</v>
      </c>
      <c r="D35" s="62" t="s">
        <v>50</v>
      </c>
      <c r="E35" s="69">
        <f>(E14+E17)/B15*100</f>
        <v>3.2945736434108532</v>
      </c>
      <c r="F35" s="69"/>
    </row>
    <row r="36" spans="1:6" x14ac:dyDescent="0.2">
      <c r="A36" s="63" t="s">
        <v>105</v>
      </c>
      <c r="B36" s="68"/>
    </row>
    <row r="37" spans="1:6" x14ac:dyDescent="0.2">
      <c r="A37" s="62" t="s">
        <v>76</v>
      </c>
      <c r="B37" s="68">
        <f>Q!H12</f>
        <v>28380</v>
      </c>
    </row>
    <row r="38" spans="1:6" x14ac:dyDescent="0.2">
      <c r="A38" s="62" t="s">
        <v>77</v>
      </c>
      <c r="B38" s="68">
        <f>Q!H13</f>
        <v>17028</v>
      </c>
      <c r="D38" s="58"/>
      <c r="E38" s="57"/>
    </row>
    <row r="39" spans="1:6" x14ac:dyDescent="0.2">
      <c r="A39" s="62" t="s">
        <v>78</v>
      </c>
      <c r="B39" s="68">
        <f>Q!H14</f>
        <v>-11352</v>
      </c>
    </row>
    <row r="40" spans="1:6" x14ac:dyDescent="0.2">
      <c r="A40" s="62" t="s">
        <v>79</v>
      </c>
      <c r="B40" s="68">
        <f>Q!H15</f>
        <v>-1986.6000000000001</v>
      </c>
    </row>
    <row r="41" spans="1:6" x14ac:dyDescent="0.2">
      <c r="A41" s="63" t="s">
        <v>106</v>
      </c>
      <c r="B41" s="68"/>
    </row>
    <row r="42" spans="1:6" x14ac:dyDescent="0.2">
      <c r="A42" s="62" t="s">
        <v>80</v>
      </c>
      <c r="B42" s="68">
        <f>Q!H17</f>
        <v>23083.9</v>
      </c>
    </row>
    <row r="43" spans="1:6" x14ac:dyDescent="0.2">
      <c r="A43" s="62" t="s">
        <v>81</v>
      </c>
      <c r="B43" s="68">
        <f>Q!H18</f>
        <v>11541.95</v>
      </c>
    </row>
    <row r="44" spans="1:6" x14ac:dyDescent="0.2">
      <c r="A44" s="62" t="s">
        <v>82</v>
      </c>
      <c r="B44" s="68">
        <f>Q!H19</f>
        <v>-9893.1</v>
      </c>
    </row>
    <row r="45" spans="1:6" x14ac:dyDescent="0.2">
      <c r="A45" s="62" t="s">
        <v>83</v>
      </c>
      <c r="B45" s="68">
        <f>Q!H20</f>
        <v>-1483.9649999999999</v>
      </c>
    </row>
    <row r="46" spans="1:6" x14ac:dyDescent="0.2">
      <c r="A46" s="63" t="s">
        <v>107</v>
      </c>
      <c r="B46" s="68"/>
    </row>
    <row r="47" spans="1:6" x14ac:dyDescent="0.2">
      <c r="A47" s="62" t="s">
        <v>84</v>
      </c>
      <c r="B47" s="68">
        <f>Q!H22</f>
        <v>-1231</v>
      </c>
    </row>
    <row r="48" spans="1:6" x14ac:dyDescent="0.2">
      <c r="A48" s="62" t="s">
        <v>85</v>
      </c>
      <c r="B48" s="68">
        <f>Q!H23</f>
        <v>-5692</v>
      </c>
    </row>
    <row r="49" spans="1:2" x14ac:dyDescent="0.2">
      <c r="A49" s="62" t="s">
        <v>86</v>
      </c>
      <c r="B49" s="68">
        <f>Q!H24</f>
        <v>-1354</v>
      </c>
    </row>
    <row r="50" spans="1:2" x14ac:dyDescent="0.2">
      <c r="A50" s="63" t="s">
        <v>108</v>
      </c>
      <c r="B50" s="68"/>
    </row>
    <row r="51" spans="1:2" x14ac:dyDescent="0.2">
      <c r="A51" s="62" t="s">
        <v>24</v>
      </c>
      <c r="B51" s="68">
        <f>Q!H26</f>
        <v>0</v>
      </c>
    </row>
    <row r="52" spans="1:2" x14ac:dyDescent="0.2">
      <c r="A52" s="62" t="s">
        <v>87</v>
      </c>
      <c r="B52" s="68">
        <f>Q!H27</f>
        <v>500</v>
      </c>
    </row>
    <row r="53" spans="1:2" x14ac:dyDescent="0.2">
      <c r="A53" s="62" t="s">
        <v>88</v>
      </c>
      <c r="B53" s="68">
        <f>Q!H28</f>
        <v>0</v>
      </c>
    </row>
    <row r="54" spans="1:2" x14ac:dyDescent="0.2">
      <c r="A54" s="62" t="s">
        <v>89</v>
      </c>
      <c r="B54" s="68">
        <f>Q!H29</f>
        <v>0</v>
      </c>
    </row>
  </sheetData>
  <mergeCells count="1">
    <mergeCell ref="D38:E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Haluk Akdogan</dc:creator>
  <cp:lastModifiedBy>DIVYA.LACHMAN</cp:lastModifiedBy>
  <dcterms:created xsi:type="dcterms:W3CDTF">2020-12-11T03:38:38Z</dcterms:created>
  <dcterms:modified xsi:type="dcterms:W3CDTF">2026-05-26T23:26:15Z</dcterms:modified>
</cp:coreProperties>
</file>